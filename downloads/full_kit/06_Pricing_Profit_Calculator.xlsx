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Economic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02A43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087E8B"/>
      </patternFill>
    </fill>
    <fill>
      <patternFill patternType="solid">
        <fgColor rgb="00FFF2CC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bottom style="hair">
        <color rgb="00D9E2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  <col width="76" customWidth="1" min="3" max="3"/>
  </cols>
  <sheetData>
    <row r="1">
      <c r="A1" s="1" t="inlineStr">
        <is>
          <t>PREMIUM UNIT ECONOMICS CALCULATOR</t>
        </is>
      </c>
    </row>
    <row r="2">
      <c r="A2" t="inlineStr">
        <is>
          <t>Change the yellow inputs. Illustrative planning only; tax treatment and payment fees must be verified.</t>
        </is>
      </c>
    </row>
    <row r="3">
      <c r="A3" s="2" t="inlineStr">
        <is>
          <t>INPUT / OUTPUT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Selling price per order (₹)</t>
        </is>
      </c>
      <c r="B4" s="4" t="n">
        <v>999</v>
      </c>
      <c r="C4" s="5" t="inlineStr">
        <is>
          <t>Enter customer-facing price</t>
        </is>
      </c>
    </row>
    <row r="5">
      <c r="A5" s="3" t="inlineStr">
        <is>
          <t>Tax rate (%)</t>
        </is>
      </c>
      <c r="B5" s="6" t="n">
        <v>0.18</v>
      </c>
      <c r="C5" s="5" t="inlineStr">
        <is>
          <t>Illustrative only; confirm applicable treatment</t>
        </is>
      </c>
    </row>
    <row r="6">
      <c r="A6" s="3" t="inlineStr">
        <is>
          <t>Payment fee rate (%)</t>
        </is>
      </c>
      <c r="B6" s="6" t="n">
        <v>0.02</v>
      </c>
      <c r="C6" s="5" t="inlineStr">
        <is>
          <t>Replace with actual provider fees</t>
        </is>
      </c>
    </row>
    <row r="7">
      <c r="A7" s="3" t="inlineStr">
        <is>
          <t>Variable cost per order (₹)</t>
        </is>
      </c>
      <c r="B7" s="4" t="n">
        <v>10</v>
      </c>
      <c r="C7" s="5" t="inlineStr">
        <is>
          <t>Delivery/support per order</t>
        </is>
      </c>
    </row>
    <row r="8">
      <c r="A8" s="3" t="inlineStr">
        <is>
          <t>Orders in period</t>
        </is>
      </c>
      <c r="B8" s="4" t="n">
        <v>20</v>
      </c>
      <c r="C8" s="5" t="inlineStr">
        <is>
          <t>Paid orders</t>
        </is>
      </c>
    </row>
    <row r="9">
      <c r="A9" s="3" t="inlineStr">
        <is>
          <t>Refunded orders</t>
        </is>
      </c>
      <c r="B9" s="4" t="n">
        <v>1</v>
      </c>
      <c r="C9" s="5" t="inlineStr">
        <is>
          <t>Count</t>
        </is>
      </c>
    </row>
    <row r="10">
      <c r="A10" s="3" t="inlineStr">
        <is>
          <t>Average refund amount (₹)</t>
        </is>
      </c>
      <c r="B10" s="4" t="n">
        <v>999</v>
      </c>
      <c r="C10" s="5" t="inlineStr">
        <is>
          <t>Average amount returned</t>
        </is>
      </c>
    </row>
    <row r="11">
      <c r="A11" s="3" t="inlineStr">
        <is>
          <t>Marketing spend (₹)</t>
        </is>
      </c>
      <c r="B11" s="4" t="n">
        <v>3000</v>
      </c>
      <c r="C11" s="5" t="inlineStr">
        <is>
          <t>Same period as orders</t>
        </is>
      </c>
    </row>
    <row r="12">
      <c r="A12" s="3" t="inlineStr">
        <is>
          <t>Fixed costs in period (₹)</t>
        </is>
      </c>
      <c r="B12" s="4" t="n">
        <v>1000</v>
      </c>
      <c r="C12" s="5" t="inlineStr">
        <is>
          <t>Tools and other fixed costs</t>
        </is>
      </c>
    </row>
    <row r="13">
      <c r="A13" s="3" t="inlineStr">
        <is>
          <t>Relevant visitors</t>
        </is>
      </c>
      <c r="B13" s="4" t="n">
        <v>500</v>
      </c>
      <c r="C13" s="5" t="inlineStr">
        <is>
          <t>Use a consistent visitor definition</t>
        </is>
      </c>
    </row>
    <row r="14">
      <c r="A14" s="3" t="inlineStr"/>
      <c r="B14" s="7" t="n"/>
      <c r="C14" s="5" t="inlineStr"/>
    </row>
    <row r="15">
      <c r="A15" s="3" t="inlineStr">
        <is>
          <t>Gross collected sales (₹)</t>
        </is>
      </c>
      <c r="B15" s="8">
        <f>B4*B8</f>
        <v/>
      </c>
      <c r="C15" s="5" t="inlineStr">
        <is>
          <t>Price × orders</t>
        </is>
      </c>
    </row>
    <row r="16">
      <c r="A16" s="3" t="inlineStr">
        <is>
          <t>Illustrative tax portion (₹)</t>
        </is>
      </c>
      <c r="B16" s="8">
        <f>B15*B5/(1+B5)</f>
        <v/>
      </c>
      <c r="C16" s="5" t="inlineStr">
        <is>
          <t>Assumes price includes tax; verify</t>
        </is>
      </c>
    </row>
    <row r="17">
      <c r="A17" s="3" t="inlineStr">
        <is>
          <t>Payment fees (₹)</t>
        </is>
      </c>
      <c r="B17" s="8">
        <f>B15*B6</f>
        <v/>
      </c>
      <c r="C17" s="5" t="inlineStr">
        <is>
          <t>Simplified estimate</t>
        </is>
      </c>
    </row>
    <row r="18">
      <c r="A18" s="3" t="inlineStr">
        <is>
          <t>Variable costs (₹)</t>
        </is>
      </c>
      <c r="B18" s="8">
        <f>B7*B8</f>
        <v/>
      </c>
      <c r="C18" s="5" t="inlineStr">
        <is>
          <t>Per-order variable cost × orders</t>
        </is>
      </c>
    </row>
    <row r="19">
      <c r="A19" s="3" t="inlineStr">
        <is>
          <t>Refunds (₹)</t>
        </is>
      </c>
      <c r="B19" s="8">
        <f>B9*B10</f>
        <v/>
      </c>
      <c r="C19" s="5" t="inlineStr">
        <is>
          <t>Refund count × average refund</t>
        </is>
      </c>
    </row>
    <row r="20">
      <c r="A20" s="3" t="inlineStr">
        <is>
          <t>Contribution before marketing/fixed (₹)</t>
        </is>
      </c>
      <c r="B20" s="8">
        <f>B15-B16-B17-B18-B19</f>
        <v/>
      </c>
      <c r="C20" s="5" t="inlineStr">
        <is>
          <t>Illustrative; avoid double-counting tax</t>
        </is>
      </c>
    </row>
    <row r="21">
      <c r="A21" s="3" t="inlineStr">
        <is>
          <t>Estimated period result (₹)</t>
        </is>
      </c>
      <c r="B21" s="8">
        <f>B20-B11-B12</f>
        <v/>
      </c>
      <c r="C21" s="5" t="inlineStr">
        <is>
          <t>Before any other tax/accounting adjustments</t>
        </is>
      </c>
    </row>
    <row r="22">
      <c r="A22" s="3" t="inlineStr">
        <is>
          <t>Conversion rate (%)</t>
        </is>
      </c>
      <c r="B22" s="8">
        <f>IFERROR(B8/B13,0)</f>
        <v/>
      </c>
      <c r="C22" s="5" t="inlineStr">
        <is>
          <t>Orders ÷ relevant visitors</t>
        </is>
      </c>
    </row>
    <row r="23">
      <c r="A23" s="3" t="inlineStr">
        <is>
          <t>Average order value (₹)</t>
        </is>
      </c>
      <c r="B23" s="9">
        <f>IFERROR(B15/B8,0)</f>
        <v/>
      </c>
      <c r="C23" s="5" t="inlineStr">
        <is>
          <t>Sales ÷ orders</t>
        </is>
      </c>
    </row>
    <row r="24">
      <c r="A24" s="3" t="inlineStr">
        <is>
          <t>Customer acquisition cost (₹)</t>
        </is>
      </c>
      <c r="B24" s="8">
        <f>IFERROR(B11/B8,0)</f>
        <v/>
      </c>
      <c r="C24" s="5" t="inlineStr">
        <is>
          <t>Marketing spend ÷ orders; attribution varies</t>
        </is>
      </c>
    </row>
    <row r="25">
      <c r="A25" s="3" t="inlineStr">
        <is>
          <t>Simplified break-even orders</t>
        </is>
      </c>
      <c r="B25" s="8">
        <f>IFERROR((B11+B12)/(B4-B4*B6-B7),0)</f>
        <v/>
      </c>
      <c r="C25" s="5" t="inlineStr">
        <is>
          <t>Excludes tax/refund effects; use cautiously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0" t="inlineStr">
        <is>
          <t>HOW TO USE THIS WORKBOOK</t>
        </is>
      </c>
    </row>
    <row r="2">
      <c r="A2" s="11" t="inlineStr">
        <is>
          <t>1. Yellow cells are inputs; replace example values with your own assumptions.</t>
        </is>
      </c>
    </row>
    <row r="3">
      <c r="A3" s="11" t="inlineStr">
        <is>
          <t>2. Tax calculations are illustrative only. Product category, registration and local rules may change the treatment.</t>
        </is>
      </c>
    </row>
    <row r="4">
      <c r="A4" s="11" t="inlineStr">
        <is>
          <t>3. Confirm actual payment provider fees and whether the displayed price includes tax.</t>
        </is>
      </c>
    </row>
    <row r="5">
      <c r="A5" s="11" t="inlineStr">
        <is>
          <t>4. Break-even formula is simplified and does not fully model refunds, taxes or changing costs.</t>
        </is>
      </c>
    </row>
    <row r="6">
      <c r="A6" s="11" t="inlineStr">
        <is>
          <t>5. Never treat estimates as guaranteed profit. Compare with actual statements and orders.</t>
        </is>
      </c>
    </row>
    <row r="7">
      <c r="A7" s="11" t="inlineStr">
        <is>
          <t>6. Conversion rate = orders / relevant visitors; keep the visitor definition consistent.</t>
        </is>
      </c>
    </row>
    <row r="8">
      <c r="A8" s="11" t="inlineStr">
        <is>
          <t>7. Keep customer payment secrets, OTPs and passwords out of this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2026-10-17T02:08:47Z</dcterms:created>
  <dcterms:modified xmlns:dcterms="http://purl.org/dc/terms/" xmlns:xsi="http://www.w3.org/2001/XMLSchema-instance" xsi:type="dcterms:W3CDTF">2026-10-17T02:08:47Z</dcterms:modified>
</cp:coreProperties>
</file>